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hedule" sheetId="1" r:id="rId1"/>
    <sheet name="By room" sheetId="2" r:id="rId2"/>
  </sheets>
  <calcPr calcId="0" fullCalcOnLoad="1"/>
</workbook>
</file>

<file path=xl/styles.xml><?xml version="1.0" encoding="utf-8"?>
<styleSheet xmlns="http://schemas.openxmlformats.org/spreadsheetml/2006/main">
  <numFmts count="9">
    <numFmt numFmtId="164" formatCode="#,##0"/>
    <numFmt numFmtId="165" formatCode="0&quot; W&quot;"/>
    <numFmt numFmtId="166" formatCode="0.0&quot; W/m&quot;"/>
    <numFmt numFmtId="167" formatCode="0&quot;°&quot;"/>
    <numFmt numFmtId="168" formatCode="0.00&quot; m&quot;"/>
    <numFmt numFmtId="169" formatCode="#,##0.0&quot; W&quot;"/>
    <numFmt numFmtId="170" formatCode="#,##0&quot; sqft&quot;"/>
    <numFmt numFmtId="171" formatCode="0.00&quot; px/ft&quot;"/>
    <numFmt numFmtId="172" formatCode="0.00&quot; W/sqft&quot;"/>
  </numFmts>
  <fonts count="8">
    <font>
      <sz val="10"/>
      <name val="Calibri"/>
    </font>
    <font>
      <sz val="10"/>
      <name val="Calibri"/>
      <b/>
    </font>
    <font>
      <sz val="15"/>
      <name val="Calibri"/>
      <b/>
    </font>
    <font>
      <sz val="11"/>
      <name val="Calibri"/>
      <b/>
    </font>
    <font>
      <sz val="9"/>
      <name val="Calibri"/>
      <color rgb="FF6B7280"/>
    </font>
    <font>
      <sz val="9"/>
      <name val="Calibri"/>
      <color rgb="FF6B7280"/>
    </font>
    <font>
      <sz val="9.5"/>
      <name val="Calibri"/>
      <b/>
      <color rgb="FF3F3F76"/>
    </font>
    <font>
      <sz val="10"/>
      <name val="Calibri"/>
      <b/>
      <color rgb="FF15803D"/>
    </font>
  </fonts>
  <fills count="3">
    <fill>
      <patternFill patternType="none"/>
    </fill>
    <fill>
      <patternFill patternType="gray125"/>
    </fill>
    <fill>
      <patternFill patternType="solid">
        <fgColor rgb="FFF1F2F7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3F3F76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11111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2" xfId="0" applyFont="1" applyFill="1" applyBorder="1" applyAlignment="1">
      <alignment vertical="top"/>
    </xf>
    <xf numFmtId="0" fontId="1" fillId="0" borderId="2" xfId="0" applyFont="1" applyFill="1" applyBorder="1" applyAlignment="1">
      <alignment vertical="top"/>
    </xf>
    <xf numFmtId="0" fontId="2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  <xf numFmtId="0" fontId="4" fillId="0" borderId="0" xfId="0" applyFont="1" applyFill="1" applyBorder="1" applyAlignment="1">
      <alignment vertical="top"/>
    </xf>
    <xf numFmtId="164" fontId="4" fillId="0" borderId="0" xfId="0" applyNumberFormat="1" applyFont="1" applyFill="1" applyBorder="1" applyAlignment="1">
      <alignment horizontal="left" vertical="top"/>
    </xf>
    <xf numFmtId="0" fontId="5" fillId="0" borderId="2" xfId="0" applyFont="1" applyFill="1" applyBorder="1" applyAlignment="1">
      <alignment vertical="top" wrapText="1"/>
    </xf>
    <xf numFmtId="0" fontId="5" fillId="0" borderId="0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horizontal="right" vertical="top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left" vertical="top" indent="1"/>
    </xf>
    <xf numFmtId="0" fontId="5" fillId="0" borderId="2" xfId="0" applyFont="1" applyFill="1" applyBorder="1" applyAlignment="1">
      <alignment horizontal="left" vertical="top" wrapText="1" indent="1"/>
    </xf>
    <xf numFmtId="0" fontId="5" fillId="0" borderId="0" xfId="0" applyFont="1" applyFill="1" applyBorder="1" applyAlignment="1">
      <alignment horizontal="left" vertical="top" wrapText="1" indent="1"/>
    </xf>
    <xf numFmtId="164" fontId="4" fillId="0" borderId="2" xfId="0" applyNumberFormat="1" applyFont="1" applyFill="1" applyBorder="1" applyAlignment="1">
      <alignment horizontal="right" vertical="top"/>
    </xf>
    <xf numFmtId="164" fontId="0" fillId="0" borderId="2" xfId="0" applyNumberFormat="1" applyFont="1" applyFill="1" applyBorder="1" applyAlignment="1">
      <alignment horizontal="right" vertical="top"/>
    </xf>
    <xf numFmtId="0" fontId="4" fillId="0" borderId="2" xfId="0" applyFont="1" applyFill="1" applyBorder="1" applyAlignment="1">
      <alignment horizontal="center" vertical="top"/>
    </xf>
    <xf numFmtId="0" fontId="4" fillId="0" borderId="2" xfId="0" applyFont="1" applyFill="1" applyBorder="1" applyAlignment="1">
      <alignment horizontal="right" vertical="top"/>
    </xf>
    <xf numFmtId="165" fontId="0" fillId="0" borderId="2" xfId="0" applyNumberFormat="1" applyFont="1" applyFill="1" applyBorder="1" applyAlignment="1">
      <alignment horizontal="right" vertical="top"/>
    </xf>
    <xf numFmtId="166" fontId="0" fillId="0" borderId="2" xfId="0" applyNumberFormat="1" applyFont="1" applyFill="1" applyBorder="1" applyAlignment="1">
      <alignment horizontal="right" vertical="top"/>
    </xf>
    <xf numFmtId="167" fontId="0" fillId="0" borderId="2" xfId="0" applyNumberFormat="1" applyFont="1" applyFill="1" applyBorder="1" applyAlignment="1">
      <alignment horizontal="right" vertical="top"/>
    </xf>
    <xf numFmtId="168" fontId="0" fillId="0" borderId="2" xfId="0" applyNumberFormat="1" applyFont="1" applyFill="1" applyBorder="1" applyAlignment="1">
      <alignment horizontal="right" vertical="top"/>
    </xf>
    <xf numFmtId="169" fontId="0" fillId="0" borderId="2" xfId="0" applyNumberFormat="1" applyFont="1" applyFill="1" applyBorder="1" applyAlignment="1">
      <alignment horizontal="right" vertical="top"/>
    </xf>
    <xf numFmtId="170" fontId="0" fillId="0" borderId="0" xfId="0" applyNumberFormat="1" applyFont="1" applyFill="1" applyBorder="1" applyAlignment="1">
      <alignment horizontal="right" vertical="top"/>
    </xf>
    <xf numFmtId="171" fontId="0" fillId="0" borderId="0" xfId="0" applyNumberFormat="1" applyFont="1" applyFill="1" applyBorder="1" applyAlignment="1">
      <alignment horizontal="right" vertical="top"/>
    </xf>
    <xf numFmtId="172" fontId="1" fillId="0" borderId="0" xfId="0" applyNumberFormat="1" applyFont="1" applyFill="1" applyBorder="1" applyAlignment="1">
      <alignment horizontal="right" vertical="top"/>
    </xf>
    <xf numFmtId="0" fontId="0" fillId="0" borderId="3" xfId="0" applyFont="1" applyFill="1" applyBorder="1" applyAlignment="1">
      <alignment vertical="top"/>
    </xf>
    <xf numFmtId="0" fontId="1" fillId="0" borderId="3" xfId="0" applyFont="1" applyFill="1" applyBorder="1" applyAlignment="1">
      <alignment vertical="top"/>
    </xf>
    <xf numFmtId="0" fontId="4" fillId="0" borderId="3" xfId="0" applyFont="1" applyFill="1" applyBorder="1" applyAlignment="1">
      <alignment horizontal="center" vertical="top"/>
    </xf>
    <xf numFmtId="164" fontId="1" fillId="0" borderId="3" xfId="0" applyNumberFormat="1" applyFont="1" applyFill="1" applyBorder="1" applyAlignment="1">
      <alignment horizontal="right" vertical="top"/>
    </xf>
    <xf numFmtId="169" fontId="1" fillId="0" borderId="3" xfId="0" applyNumberFormat="1" applyFont="1" applyFill="1" applyBorder="1" applyAlignment="1">
      <alignment horizontal="right" vertical="top"/>
    </xf>
    <xf numFmtId="170" fontId="1" fillId="0" borderId="3" xfId="0" applyNumberFormat="1" applyFont="1" applyFill="1" applyBorder="1" applyAlignment="1">
      <alignment horizontal="right" vertical="top"/>
    </xf>
    <xf numFmtId="168" fontId="1" fillId="0" borderId="3" xfId="0" applyNumberFormat="1" applyFont="1" applyFill="1" applyBorder="1" applyAlignment="1">
      <alignment horizontal="right" vertical="top"/>
    </xf>
    <xf numFmtId="0" fontId="7" fillId="0" borderId="0" xfId="0" applyFont="1" applyFill="1" applyBorder="1" applyAlignment="1">
      <alignment vertical="top"/>
    </xf>
  </cellXfs>
  <cellStyles count="1">
    <cellStyle name="Normal" xfId="0" builtinId="0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H24"/>
  <sheetViews>
    <sheetView workbookViewId="0">
      <pane ySplit="7" topLeftCell="A8" activePane="bottomLeft" state="frozen"/>
    </sheetView>
  </sheetViews>
  <sheetFormatPr defaultRowHeight="14.5"/>
  <cols>
    <col min="1" max="1" width="4.5" customWidth="1"/>
    <col min="2" max="2" width="32" customWidth="1"/>
    <col min="3" max="3" width="11" customWidth="1"/>
    <col min="4" max="4" width="7" customWidth="1"/>
    <col min="5" max="5" width="11" customWidth="1"/>
    <col min="6" max="6" width="8" customWidth="1"/>
    <col min="7" max="7" width="11" customWidth="1"/>
    <col min="8" max="8" width="40" customWidth="1"/>
  </cols>
  <sheetData>
    <row r="1">
      <c r="A1" s="3" t="inlineStr">
        <is>
          <t xml:space="preserve">LIGHTING SCHEDULE</t>
        </is>
      </c>
    </row>
    <row r="2">
      <c r="A2" s="5" t="inlineStr">
        <is>
          <t xml:space="preserve">Plan: FLOOR_PLAN_03.png</t>
        </is>
      </c>
    </row>
    <row r="3">
      <c r="A3" s="1"/>
      <c r="B3" s="5" t="inlineStr">
        <is>
          <t xml:space="preserve">Rooms</t>
        </is>
      </c>
      <c r="C3" s="6">
        <v>5</v>
      </c>
    </row>
    <row r="4">
      <c r="A4" s="1"/>
      <c r="B4" s="5" t="inlineStr">
        <is>
          <t xml:space="preserve">Area</t>
        </is>
      </c>
      <c r="C4" s="24">
        <v>844</v>
      </c>
    </row>
    <row r="5">
      <c r="A5" s="1"/>
      <c r="B5" s="5" t="inlineStr">
        <is>
          <t xml:space="preserve">Scale</t>
        </is>
      </c>
      <c r="C5" s="25">
        <v>20</v>
      </c>
    </row>
    <row r="7">
      <c r="A7" s="9" t="inlineStr">
        <is>
          <t xml:space="preserve">#</t>
        </is>
      </c>
      <c r="B7" s="9" t="inlineStr">
        <is>
          <t xml:space="preserve">Description</t>
        </is>
      </c>
      <c r="C7" s="10" t="inlineStr">
        <is>
          <t xml:space="preserve">Qty</t>
        </is>
      </c>
      <c r="D7" s="11" t="inlineStr">
        <is>
          <t xml:space="preserve">Unit</t>
        </is>
      </c>
      <c r="E7" s="10" t="inlineStr">
        <is>
          <t xml:space="preserve">Rating</t>
        </is>
      </c>
      <c r="F7" s="10" t="inlineStr">
        <is>
          <t xml:space="preserve">Beam</t>
        </is>
      </c>
      <c r="G7" s="10" t="inlineStr">
        <is>
          <t xml:space="preserve">Load</t>
        </is>
      </c>
      <c r="H7" s="12" t="inlineStr">
        <is>
          <t xml:space="preserve">Notes</t>
        </is>
      </c>
    </row>
    <row r="8">
      <c r="A8" s="15">
        <v>1</v>
      </c>
      <c r="B8" s="2" t="inlineStr">
        <is>
          <t xml:space="preserve">Recessed downlight — small</t>
        </is>
      </c>
      <c r="C8" s="16">
        <v>22</v>
      </c>
      <c r="D8" s="17" t="inlineStr">
        <is>
          <t xml:space="preserve">nos</t>
        </is>
      </c>
      <c r="E8" s="19">
        <v>7</v>
      </c>
      <c r="F8" s="21">
        <v>36</v>
      </c>
      <c r="G8" s="23">
        <f>IF(ISNUMBER(E8),C8*E8,"")</f>
        <v>154</v>
      </c>
      <c r="H8" s="13" t="inlineStr">
        <is>
          <t xml:space="preserve">ambient grid, one per cell</t>
        </is>
      </c>
    </row>
    <row r="9">
      <c r="A9" s="15">
        <v>2</v>
      </c>
      <c r="B9" s="2" t="inlineStr">
        <is>
          <t xml:space="preserve">Recessed downlight — large</t>
        </is>
      </c>
      <c r="C9" s="16">
        <v>4</v>
      </c>
      <c r="D9" s="17" t="inlineStr">
        <is>
          <t xml:space="preserve">nos</t>
        </is>
      </c>
      <c r="E9" s="19">
        <v>12</v>
      </c>
      <c r="F9" s="21">
        <v>60</v>
      </c>
      <c r="G9" s="23">
        <f>IF(ISNUMBER(E9),C9*E9,"")</f>
        <v>48</v>
      </c>
      <c r="H9" s="13" t="inlineStr">
        <is>
          <t xml:space="preserve">ambient grid, serves a pair of cells</t>
        </is>
      </c>
    </row>
    <row r="10">
      <c r="A10" s="15">
        <v>3</v>
      </c>
      <c r="B10" s="2" t="inlineStr">
        <is>
          <t xml:space="preserve">Directional spot</t>
        </is>
      </c>
      <c r="C10" s="16">
        <v>3</v>
      </c>
      <c r="D10" s="17" t="inlineStr">
        <is>
          <t xml:space="preserve">nos</t>
        </is>
      </c>
      <c r="E10" s="19">
        <v>5</v>
      </c>
      <c r="F10" s="21">
        <v>30</v>
      </c>
      <c r="G10" s="23">
        <f>IF(ISNUMBER(E10),C10*E10,"")</f>
        <v>15</v>
      </c>
      <c r="H10" s="13" t="inlineStr">
        <is>
          <t xml:space="preserve">aimed at a task surface</t>
        </is>
      </c>
    </row>
    <row r="11">
      <c r="A11" s="15">
        <v>4</v>
      </c>
      <c r="B11" s="2" t="inlineStr">
        <is>
          <t xml:space="preserve">Wall sconce</t>
        </is>
      </c>
      <c r="C11" s="16">
        <v>6</v>
      </c>
      <c r="D11" s="17" t="inlineStr">
        <is>
          <t xml:space="preserve">nos</t>
        </is>
      </c>
      <c r="E11" s="18" t="inlineStr">
        <is>
          <t xml:space="preserve">—</t>
        </is>
      </c>
      <c r="F11" s="18" t="inlineStr">
        <is>
          <t xml:space="preserve">—</t>
        </is>
      </c>
      <c r="G11" s="23">
        <f>IF(ISNUMBER(E11),C11*E11,"")</f>
      </c>
      <c r="H11" s="13" t="inlineStr">
        <is>
          <t xml:space="preserve">accent — wattage by fitting selection</t>
        </is>
      </c>
    </row>
    <row r="12">
      <c r="A12" s="15">
        <v>5</v>
      </c>
      <c r="B12" s="2" t="inlineStr">
        <is>
          <t xml:space="preserve">LED strip</t>
        </is>
      </c>
      <c r="C12" s="22">
        <v>5.94</v>
      </c>
      <c r="D12" s="17" t="inlineStr">
        <is>
          <t xml:space="preserve">m</t>
        </is>
      </c>
      <c r="E12" s="20">
        <v>9.6</v>
      </c>
      <c r="F12" s="18" t="inlineStr">
        <is>
          <t xml:space="preserve">—</t>
        </is>
      </c>
      <c r="G12" s="23">
        <f>IF(ISNUMBER(E12),C12*E12,"")</f>
        <v>57.1</v>
      </c>
      <c r="H12" s="13" t="inlineStr">
        <is>
          <t xml:space="preserve">2 runs · accent — concealed cove / under-cabinet</t>
        </is>
      </c>
    </row>
    <row r="13">
      <c r="A13" s="27"/>
      <c r="B13" s="28" t="inlineStr">
        <is>
          <t xml:space="preserve">Total</t>
        </is>
      </c>
      <c r="C13" s="30">
        <f>SUM(C8:C11)</f>
        <v>35</v>
      </c>
      <c r="D13" s="29" t="inlineStr">
        <is>
          <t xml:space="preserve">nos</t>
        </is>
      </c>
      <c r="E13" s="27"/>
      <c r="F13" s="27"/>
      <c r="G13" s="31">
        <f>SUM(G8:G12)</f>
        <v>274.1</v>
      </c>
      <c r="H13" s="27"/>
    </row>
    <row r="14">
      <c r="A14" s="1"/>
      <c r="B14" s="2" t="inlineStr">
        <is>
          <t xml:space="preserve">Total LED strip</t>
        </is>
      </c>
      <c r="C14" s="22">
        <f>C12</f>
        <v>5.94</v>
      </c>
    </row>
    <row r="15">
      <c r="A15" s="1"/>
      <c r="B15" s="2" t="inlineStr">
        <is>
          <t xml:space="preserve">Connected load</t>
        </is>
      </c>
      <c r="C15" s="26">
        <f>IF(C4&gt;0,G13/C4,"")</f>
        <v>0.32</v>
      </c>
    </row>
    <row r="16">
      <c r="A16" s="1"/>
      <c r="B16" s="2" t="inlineStr">
        <is>
          <t xml:space="preserve">Load excludes</t>
        </is>
      </c>
      <c r="H16" s="14" t="inlineStr">
        <is>
          <t xml:space="preserve">6 × wall sconce — wattage is set when the fitting is chosen</t>
        </is>
      </c>
    </row>
    <row r="18">
      <c r="A18" s="4" t="inlineStr">
        <is>
          <t xml:space="preserve">CEILING ITEMS</t>
        </is>
      </c>
    </row>
    <row r="19">
      <c r="A19" s="5" t="inlineStr">
        <is>
          <t xml:space="preserve">Coordination only — on the drawing because they occupy ceiling, and not billed.</t>
        </is>
      </c>
    </row>
    <row r="20">
      <c r="A20" s="9" t="inlineStr">
        <is>
          <t xml:space="preserve">#</t>
        </is>
      </c>
      <c r="B20" s="9" t="inlineStr">
        <is>
          <t xml:space="preserve">Description</t>
        </is>
      </c>
      <c r="C20" s="10" t="inlineStr">
        <is>
          <t xml:space="preserve">Qty</t>
        </is>
      </c>
      <c r="D20" s="11" t="inlineStr">
        <is>
          <t xml:space="preserve">Unit</t>
        </is>
      </c>
      <c r="E20" s="9"/>
      <c r="F20" s="9"/>
      <c r="G20" s="9"/>
      <c r="H20" s="9"/>
    </row>
    <row r="21">
      <c r="A21" s="15">
        <v>1</v>
      </c>
      <c r="B21" s="2" t="inlineStr">
        <is>
          <t xml:space="preserve">Ceiling fan</t>
        </is>
      </c>
      <c r="C21" s="16">
        <v>2</v>
      </c>
      <c r="D21" s="17" t="inlineStr">
        <is>
          <t xml:space="preserve">nos</t>
        </is>
      </c>
    </row>
    <row r="22">
      <c r="A22" s="15">
        <v>2</v>
      </c>
      <c r="B22" s="2" t="inlineStr">
        <is>
          <t xml:space="preserve">Chandelier / pendant</t>
        </is>
      </c>
      <c r="C22" s="16">
        <v>1</v>
      </c>
      <c r="D22" s="17" t="inlineStr">
        <is>
          <t xml:space="preserve">nos</t>
        </is>
      </c>
    </row>
    <row r="23">
      <c r="A23" s="15">
        <v>3</v>
      </c>
      <c r="B23" s="2" t="inlineStr">
        <is>
          <t xml:space="preserve">AC ceiling unit</t>
        </is>
      </c>
      <c r="C23" s="16">
        <v>1</v>
      </c>
      <c r="D23" s="17" t="inlineStr">
        <is>
          <t xml:space="preserve">nos</t>
        </is>
      </c>
    </row>
    <row r="24">
      <c r="A24" s="15">
        <v>4</v>
      </c>
      <c r="B24" s="2" t="inlineStr">
        <is>
          <t xml:space="preserve">Trap door / access panel</t>
        </is>
      </c>
      <c r="C24" s="16">
        <v>1</v>
      </c>
      <c r="D24" s="17" t="inlineStr">
        <is>
          <t xml:space="preserve">nos</t>
        </is>
      </c>
    </row>
  </sheetData>
  <mergeCells count="2">
    <mergeCell ref="A1:H1"/>
    <mergeCell ref="A2:H2"/>
  </mergeCells>
  <pageMargins left="0.5" right="0.5" top="0.6" bottom="0.6" header="0.3" footer="0.3"/>
  <pageSetup paperSize="9" orientation="portrait" fitToWidth="1" fitToHeight="0"/>
</worksheet>
</file>

<file path=xl/worksheets/sheet2.xml><?xml version="1.0" encoding="utf-8"?>
<worksheet xmlns="http://schemas.openxmlformats.org/spreadsheetml/2006/main">
  <sheetPr>
    <pageSetUpPr fitToPage="1"/>
  </sheetPr>
  <dimension ref="A1:G12"/>
  <sheetViews>
    <sheetView workbookViewId="0">
      <pane ySplit="4" topLeftCell="A5" activePane="bottomLeft" state="frozen"/>
    </sheetView>
  </sheetViews>
  <sheetFormatPr defaultRowHeight="14.5"/>
  <cols>
    <col min="1" max="1" width="26" customWidth="1"/>
    <col min="2" max="2" width="12" customWidth="1"/>
    <col min="3" max="3" width="9" customWidth="1"/>
    <col min="4" max="4" width="9" customWidth="1"/>
    <col min="5" max="5" width="9" customWidth="1"/>
    <col min="6" max="6" width="10" customWidth="1"/>
    <col min="7" max="7" width="11" customWidth="1"/>
  </cols>
  <sheetData>
    <row r="1">
      <c r="A1" s="3" t="inlineStr">
        <is>
          <t xml:space="preserve">BY ROOM</t>
        </is>
      </c>
    </row>
    <row r="2">
      <c r="A2" s="5" t="inlineStr">
        <is>
          <t xml:space="preserve">How a site is wired and how a contractor prices it.</t>
        </is>
      </c>
    </row>
    <row r="4">
      <c r="A4" s="9" t="inlineStr">
        <is>
          <t xml:space="preserve">Room</t>
        </is>
      </c>
      <c r="B4" s="10" t="inlineStr">
        <is>
          <t xml:space="preserve">Area</t>
        </is>
      </c>
      <c r="C4" s="10" t="inlineStr">
        <is>
          <t xml:space="preserve">Small</t>
        </is>
      </c>
      <c r="D4" s="10" t="inlineStr">
        <is>
          <t xml:space="preserve">Large</t>
        </is>
      </c>
      <c r="E4" s="10" t="inlineStr">
        <is>
          <t xml:space="preserve">Spots</t>
        </is>
      </c>
      <c r="F4" s="10" t="inlineStr">
        <is>
          <t xml:space="preserve">Sconces</t>
        </is>
      </c>
      <c r="G4" s="10" t="inlineStr">
        <is>
          <t xml:space="preserve">Strip</t>
        </is>
      </c>
    </row>
    <row r="5">
      <c r="A5" s="2" t="inlineStr">
        <is>
          <t xml:space="preserve">Living / dining</t>
        </is>
      </c>
      <c r="B5" s="24">
        <v>410</v>
      </c>
      <c r="C5" s="16">
        <v>9</v>
      </c>
      <c r="D5" s="16">
        <v>3</v>
      </c>
      <c r="E5" s="16">
        <v>2</v>
      </c>
      <c r="F5" s="16">
        <v>0</v>
      </c>
      <c r="G5" s="22">
        <v>3.66</v>
      </c>
    </row>
    <row r="6">
      <c r="A6" s="2" t="inlineStr">
        <is>
          <t xml:space="preserve">Master bedroom</t>
        </is>
      </c>
      <c r="B6" s="24">
        <v>168</v>
      </c>
      <c r="C6" s="16">
        <v>4</v>
      </c>
      <c r="D6" s="16">
        <v>1</v>
      </c>
      <c r="E6" s="16">
        <v>1</v>
      </c>
      <c r="F6" s="16">
        <v>2</v>
      </c>
      <c r="G6" s="22">
        <v>2.29</v>
      </c>
    </row>
    <row r="7">
      <c r="A7" s="2" t="inlineStr">
        <is>
          <t xml:space="preserve">Bedroom 2</t>
        </is>
      </c>
      <c r="B7" s="24">
        <v>140</v>
      </c>
      <c r="C7" s="16">
        <v>4</v>
      </c>
      <c r="D7" s="16">
        <v>0</v>
      </c>
      <c r="E7" s="16">
        <v>0</v>
      </c>
      <c r="F7" s="16">
        <v>2</v>
      </c>
      <c r="G7" s="22">
        <v>0</v>
      </c>
    </row>
    <row r="8">
      <c r="A8" s="2" t="inlineStr">
        <is>
          <t xml:space="preserve">Kitchen</t>
        </is>
      </c>
      <c r="B8" s="24">
        <v>84</v>
      </c>
      <c r="C8" s="16">
        <v>4</v>
      </c>
      <c r="D8" s="16">
        <v>0</v>
      </c>
      <c r="E8" s="16">
        <v>0</v>
      </c>
      <c r="F8" s="16">
        <v>0</v>
      </c>
      <c r="G8" s="22">
        <v>0</v>
      </c>
    </row>
    <row r="9">
      <c r="A9" s="2" t="inlineStr">
        <is>
          <t xml:space="preserve">Toilet</t>
        </is>
      </c>
      <c r="B9" s="24">
        <v>42</v>
      </c>
      <c r="C9" s="16">
        <v>1</v>
      </c>
      <c r="D9" s="16">
        <v>0</v>
      </c>
      <c r="E9" s="16">
        <v>0</v>
      </c>
      <c r="F9" s="16">
        <v>2</v>
      </c>
      <c r="G9" s="22">
        <v>0</v>
      </c>
    </row>
    <row r="10">
      <c r="A10" s="28" t="inlineStr">
        <is>
          <t xml:space="preserve">Total</t>
        </is>
      </c>
      <c r="B10" s="32">
        <f>SUM(B5:B9)</f>
        <v>844</v>
      </c>
      <c r="C10" s="30">
        <f>SUM(C5:C9)</f>
        <v>22</v>
      </c>
      <c r="D10" s="30">
        <f>SUM(D5:D9)</f>
        <v>4</v>
      </c>
      <c r="E10" s="30">
        <f>SUM(E5:E9)</f>
        <v>3</v>
      </c>
      <c r="F10" s="30">
        <f>SUM(F5:F9)</f>
        <v>6</v>
      </c>
      <c r="G10" s="33">
        <f>SUM(G5:G9)</f>
        <v>5.94</v>
      </c>
    </row>
    <row r="12">
      <c r="A12" s="2" t="inlineStr">
        <is>
          <t xml:space="preserve">Check</t>
        </is>
      </c>
      <c r="B12" s="34" t="str">
        <f>IF(AND(C10=Schedule!C8,D10=Schedule!C9,E10=Schedule!C10,F10=Schedule!C11),"OK — matches the schedule","MISMATCH")</f>
        <v>OK — matches the schedule</v>
      </c>
    </row>
  </sheetData>
  <mergeCells count="2">
    <mergeCell ref="A1:G1"/>
    <mergeCell ref="A2:G2"/>
  </mergeCells>
  <pageMargins left="0.5" right="0.5" top="0.6" bottom="0.6" header="0.3" footer="0.3"/>
  <pageSetup paperSize="9" orientation="portrait" fitToWidth="1" fitToHeight="0"/>
</worksheet>
</file>